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Commands" sheetId="2" state="visible" r:id="rId4"/>
    <sheet name="Targets" sheetId="3" state="visible" r:id="rId5"/>
    <sheet name="Scripts" sheetId="4" state="visible" r:id="rId6"/>
    <sheet name="Files" sheetId="5" state="visible" r:id="rId7"/>
    <sheet name="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B4" authorId="0">
      <text>
        <r>
          <rPr>
            <sz val="10"/>
            <rFont val="Arial"/>
            <family val="2"/>
          </rPr>
          <t xml:space="preserve">Derived from package.json and README.md in the local repository.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</xdr:colOff>
                <xdr:row>4</xdr:row>
                <xdr:rowOff>1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Primary public source URL for this workbook.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14</xdr:rowOff>
              </xdr:from>
              <xdr:to>
                <xdr:col>1</xdr:col>
                <xdr:colOff>8</xdr:colOff>
                <xdr:row>4</xdr:row>
                <xdr:rowOff>13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<sst xmlns="http://schemas.openxmlformats.org/spreadsheetml/2006/main" count="459" uniqueCount="200">
  <si>
    <t xml:space="preserve">agent-sync Project Workbook</t>
  </si>
  <si>
    <t xml:space="preserve">Project</t>
  </si>
  <si>
    <t xml:space="preserve">agent-sync</t>
  </si>
  <si>
    <t xml:space="preserve">KPI</t>
  </si>
  <si>
    <t xml:space="preserve">Value</t>
  </si>
  <si>
    <t xml:space="preserve">Formula</t>
  </si>
  <si>
    <t xml:space="preserve">Agents Seed</t>
  </si>
  <si>
    <t xml:space="preserve">Package</t>
  </si>
  <si>
    <t xml:space="preserve">@bitkyc08/agent-sync</t>
  </si>
  <si>
    <t xml:space="preserve">Supported Agents</t>
  </si>
  <si>
    <t xml:space="preserve">Counts target agent/use rows</t>
  </si>
  <si>
    <t xml:space="preserve">Claude Code</t>
  </si>
  <si>
    <t xml:space="preserve">Version</t>
  </si>
  <si>
    <t xml:space="preserve">0.1.9</t>
  </si>
  <si>
    <t xml:space="preserve">Instruction Targets</t>
  </si>
  <si>
    <t xml:space="preserve">Rows tagged Instructions</t>
  </si>
  <si>
    <t xml:space="preserve">Codex CLI</t>
  </si>
  <si>
    <t xml:space="preserve">Description</t>
  </si>
  <si>
    <t xml:space="preserve">Sync MCP, skills, and AGENTS.md across all AI coding agents (Claude, Codex, Copilot, Gemini, Antigravity, OpenCode)</t>
  </si>
  <si>
    <t xml:space="preserve">MCP Targets</t>
  </si>
  <si>
    <t xml:space="preserve">Rows tagged MCP</t>
  </si>
  <si>
    <t xml:space="preserve">Copilot</t>
  </si>
  <si>
    <t xml:space="preserve">Repository</t>
  </si>
  <si>
    <t xml:space="preserve">https://github.com/lidge-jun/agent-sync.git</t>
  </si>
  <si>
    <t xml:space="preserve">NPM Scripts</t>
  </si>
  <si>
    <t xml:space="preserve">Rows in Scripts sheet</t>
  </si>
  <si>
    <t xml:space="preserve">Gemini CLI</t>
  </si>
  <si>
    <t xml:space="preserve">Workspace</t>
  </si>
  <si>
    <t xml:space="preserve">/Users/jun/Developer/new/700_projects/agent-sync</t>
  </si>
  <si>
    <t xml:space="preserve">Tracked Files</t>
  </si>
  <si>
    <t xml:space="preserve">Rows in Files sheet</t>
  </si>
  <si>
    <t xml:space="preserve">Antigravity</t>
  </si>
  <si>
    <t xml:space="preserve">Review Status</t>
  </si>
  <si>
    <t xml:space="preserve">Draft</t>
  </si>
  <si>
    <t xml:space="preserve">File Categories</t>
  </si>
  <si>
    <t xml:space="preserve">Summary categories on Dashboard</t>
  </si>
  <si>
    <t xml:space="preserve">OpenCode</t>
  </si>
  <si>
    <t xml:space="preserve">Next Focus</t>
  </si>
  <si>
    <t xml:space="preserve">MCP sync review</t>
  </si>
  <si>
    <t xml:space="preserve">Notes</t>
  </si>
  <si>
    <t xml:space="preserve">Workbook uses tables, formulas, charting, conditional formatting, data validation, comments, hyperlinks, and frozen panes.</t>
  </si>
  <si>
    <t xml:space="preserve">Category</t>
  </si>
  <si>
    <t xml:space="preserve">Command</t>
  </si>
  <si>
    <t xml:space="preserve">Purpose</t>
  </si>
  <si>
    <t xml:space="preserve">Source URL</t>
  </si>
  <si>
    <t xml:space="preserve">Install</t>
  </si>
  <si>
    <t xml:space="preserve">npm install -g @bitkyc08/agent-sync</t>
  </si>
  <si>
    <t xml:space="preserve">Global install</t>
  </si>
  <si>
    <t xml:space="preserve">https://github.com/lidge-jun/agent-sync</t>
  </si>
  <si>
    <t xml:space="preserve">Wizard</t>
  </si>
  <si>
    <t xml:space="preserve">Interactive setup wizard</t>
  </si>
  <si>
    <t xml:space="preserve">MCP</t>
  </si>
  <si>
    <t xml:space="preserve">agent-sync mcp</t>
  </si>
  <si>
    <t xml:space="preserve">Sync MCP config globally</t>
  </si>
  <si>
    <t xml:space="preserve">Skills</t>
  </si>
  <si>
    <t xml:space="preserve">agent-sync skills</t>
  </si>
  <si>
    <t xml:space="preserve">Sync project skill symlinks</t>
  </si>
  <si>
    <t xml:space="preserve">Instructions</t>
  </si>
  <si>
    <t xml:space="preserve">agent-sync agents</t>
  </si>
  <si>
    <t xml:space="preserve">Generate AGENTS.md and sibling prompt files</t>
  </si>
  <si>
    <t xml:space="preserve">Build</t>
  </si>
  <si>
    <t xml:space="preserve">npm run build</t>
  </si>
  <si>
    <t xml:space="preserve">Compile TypeScript</t>
  </si>
  <si>
    <t xml:space="preserve">Dev</t>
  </si>
  <si>
    <t xml:space="preserve">npm run dev</t>
  </si>
  <si>
    <t xml:space="preserve">Run CLI from source</t>
  </si>
  <si>
    <t xml:space="preserve">Test</t>
  </si>
  <si>
    <t xml:space="preserve">npm run test</t>
  </si>
  <si>
    <t xml:space="preserve">Run vitest test suite</t>
  </si>
  <si>
    <t xml:space="preserve">Release</t>
  </si>
  <si>
    <t xml:space="preserve">npm run prepublishOnly</t>
  </si>
  <si>
    <t xml:space="preserve">Bump version and build before publish</t>
  </si>
  <si>
    <t xml:space="preserve">Scope</t>
  </si>
  <si>
    <t xml:space="preserve">Target</t>
  </si>
  <si>
    <t xml:space="preserve">Path</t>
  </si>
  <si>
    <t xml:space="preserve">Format</t>
  </si>
  <si>
    <t xml:space="preserve">Agent/Use</t>
  </si>
  <si>
    <t xml:space="preserve">AGENTS.md</t>
  </si>
  <si>
    <t xml:space="preserve">project root</t>
  </si>
  <si>
    <t xml:space="preserve">Markdown</t>
  </si>
  <si>
    <t xml:space="preserve">Codex / OpenCode</t>
  </si>
  <si>
    <t xml:space="preserve">CLAUDE.md</t>
  </si>
  <si>
    <t xml:space="preserve">copilot-instructions.md</t>
  </si>
  <si>
    <t xml:space="preserve">.github/</t>
  </si>
  <si>
    <t xml:space="preserve">agent-sync.md</t>
  </si>
  <si>
    <t xml:space="preserve">.agents/rules/</t>
  </si>
  <si>
    <t xml:space="preserve">Skills Sync</t>
  </si>
  <si>
    <t xml:space="preserve">.agent/skills/</t>
  </si>
  <si>
    <t xml:space="preserve">Real directory</t>
  </si>
  <si>
    <t xml:space="preserve">Skill source of truth</t>
  </si>
  <si>
    <t xml:space="preserve">.agents/skills/</t>
  </si>
  <si>
    <t xml:space="preserve">symlink</t>
  </si>
  <si>
    <t xml:space="preserve">Symlink</t>
  </si>
  <si>
    <t xml:space="preserve">.claude/skills/</t>
  </si>
  <si>
    <t xml:space="preserve">~/.mcp.json</t>
  </si>
  <si>
    <t xml:space="preserve">home</t>
  </si>
  <si>
    <t xml:space="preserve">JSON</t>
  </si>
  <si>
    <t xml:space="preserve">~/.codex/config.toml</t>
  </si>
  <si>
    <t xml:space="preserve">TOML</t>
  </si>
  <si>
    <t xml:space="preserve">Codex</t>
  </si>
  <si>
    <t xml:space="preserve">~/.gemini/settings.json</t>
  </si>
  <si>
    <t xml:space="preserve">~/.config/opencode/opencode.json</t>
  </si>
  <si>
    <t xml:space="preserve">~/.copilot/mcp-config.json</t>
  </si>
  <si>
    <t xml:space="preserve">~/.gemini/antigravity/mcp_config.json</t>
  </si>
  <si>
    <t xml:space="preserve">Script</t>
  </si>
  <si>
    <t xml:space="preserve">Type</t>
  </si>
  <si>
    <t xml:space="preserve">build</t>
  </si>
  <si>
    <t xml:space="preserve">tsc</t>
  </si>
  <si>
    <t xml:space="preserve">dev</t>
  </si>
  <si>
    <t xml:space="preserve">tsx src/cli.ts</t>
  </si>
  <si>
    <t xml:space="preserve">test</t>
  </si>
  <si>
    <t xml:space="preserve">vitest run</t>
  </si>
  <si>
    <t xml:space="preserve">bump</t>
  </si>
  <si>
    <t xml:space="preserve">node scripts/bump.cjs</t>
  </si>
  <si>
    <t xml:space="preserve">prepublishOnly</t>
  </si>
  <si>
    <t xml:space="preserve">npm run bump &amp;&amp; npm run build</t>
  </si>
  <si>
    <t xml:space="preserve">Relative Path</t>
  </si>
  <si>
    <t xml:space="preserve">Ext</t>
  </si>
  <si>
    <t xml:space="preserve">Size (KB)</t>
  </si>
  <si>
    <t xml:space="preserve">Top Folder</t>
  </si>
  <si>
    <t xml:space="preserve">.agents/rules/agent-sync.md</t>
  </si>
  <si>
    <t xml:space="preserve">.md</t>
  </si>
  <si>
    <t xml:space="preserve">Docs</t>
  </si>
  <si>
    <t xml:space="preserve">.agents</t>
  </si>
  <si>
    <t xml:space="preserve">.github/copilot-instructions.md</t>
  </si>
  <si>
    <t xml:space="preserve">.github</t>
  </si>
  <si>
    <t xml:space="preserve">.gitignore</t>
  </si>
  <si>
    <t xml:space="preserve">(none)</t>
  </si>
  <si>
    <t xml:space="preserve">Other</t>
  </si>
  <si>
    <t xml:space="preserve">README.md</t>
  </si>
  <si>
    <t xml:space="preserve">agent-sync.pptx</t>
  </si>
  <si>
    <t xml:space="preserve">.pptx</t>
  </si>
  <si>
    <t xml:space="preserve">Asset</t>
  </si>
  <si>
    <t xml:space="preserve">devlog/_fin/260227_circular_symlink_debug_fin.md</t>
  </si>
  <si>
    <t xml:space="preserve">devlog</t>
  </si>
  <si>
    <t xml:space="preserve">devlog/_fin/260227_initial_extraction.md</t>
  </si>
  <si>
    <t xml:space="preserve">devlog/str_func/str_func.md</t>
  </si>
  <si>
    <t xml:space="preserve">dist/__tests__/symlink.test.d.ts</t>
  </si>
  <si>
    <t xml:space="preserve">.ts</t>
  </si>
  <si>
    <t xml:space="preserve">dist</t>
  </si>
  <si>
    <t xml:space="preserve">dist/__tests__/symlink.test.js</t>
  </si>
  <si>
    <t xml:space="preserve">.js</t>
  </si>
  <si>
    <t xml:space="preserve">dist/__tests__/symlink.test.js.map</t>
  </si>
  <si>
    <t xml:space="preserve">.map</t>
  </si>
  <si>
    <t xml:space="preserve">dist/cli.d.ts</t>
  </si>
  <si>
    <t xml:space="preserve">dist/cli.js</t>
  </si>
  <si>
    <t xml:space="preserve">dist/cli.js.map</t>
  </si>
  <si>
    <t xml:space="preserve">dist/core/agents-md.d.ts</t>
  </si>
  <si>
    <t xml:space="preserve">dist/core/agents-md.js</t>
  </si>
  <si>
    <t xml:space="preserve">dist/core/agents-md.js.map</t>
  </si>
  <si>
    <t xml:space="preserve">dist/core/config.d.ts</t>
  </si>
  <si>
    <t xml:space="preserve">dist/core/config.js</t>
  </si>
  <si>
    <t xml:space="preserve">dist/core/config.js.map</t>
  </si>
  <si>
    <t xml:space="preserve">dist/core/mcp-sync.d.ts</t>
  </si>
  <si>
    <t xml:space="preserve">dist/core/mcp-sync.js</t>
  </si>
  <si>
    <t xml:space="preserve">dist/core/mcp-sync.js.map</t>
  </si>
  <si>
    <t xml:space="preserve">dist/core/skill-sync.d.ts</t>
  </si>
  <si>
    <t xml:space="preserve">dist/core/skill-sync.js</t>
  </si>
  <si>
    <t xml:space="preserve">dist/core/skill-sync.js.map</t>
  </si>
  <si>
    <t xml:space="preserve">dist/core/symlink.d.ts</t>
  </si>
  <si>
    <t xml:space="preserve">dist/core/symlink.js</t>
  </si>
  <si>
    <t xml:space="preserve">dist/core/symlink.js.map</t>
  </si>
  <si>
    <t xml:space="preserve">dist/utils/log.d.ts</t>
  </si>
  <si>
    <t xml:space="preserve">dist/utils/log.js</t>
  </si>
  <si>
    <t xml:space="preserve">dist/utils/log.js.map</t>
  </si>
  <si>
    <t xml:space="preserve">dist/utils/prompt.d.ts</t>
  </si>
  <si>
    <t xml:space="preserve">dist/utils/prompt.js</t>
  </si>
  <si>
    <t xml:space="preserve">dist/utils/prompt.js.map</t>
  </si>
  <si>
    <t xml:space="preserve">docs/index.html</t>
  </si>
  <si>
    <t xml:space="preserve">.html</t>
  </si>
  <si>
    <t xml:space="preserve">docs</t>
  </si>
  <si>
    <t xml:space="preserve">generate_ppt.mjs</t>
  </si>
  <si>
    <t xml:space="preserve">.mjs</t>
  </si>
  <si>
    <t xml:space="preserve">Code</t>
  </si>
  <si>
    <t xml:space="preserve">package-lock.json</t>
  </si>
  <si>
    <t xml:space="preserve">.json</t>
  </si>
  <si>
    <t xml:space="preserve">Config</t>
  </si>
  <si>
    <t xml:space="preserve">package.json</t>
  </si>
  <si>
    <t xml:space="preserve">scripts/bump.cjs</t>
  </si>
  <si>
    <t xml:space="preserve">.cjs</t>
  </si>
  <si>
    <t xml:space="preserve">scripts</t>
  </si>
  <si>
    <t xml:space="preserve">src/__tests__/symlink.test.ts</t>
  </si>
  <si>
    <t xml:space="preserve">Source</t>
  </si>
  <si>
    <t xml:space="preserve">src</t>
  </si>
  <si>
    <t xml:space="preserve">src/cli.ts</t>
  </si>
  <si>
    <t xml:space="preserve">src/core/agents-md.ts</t>
  </si>
  <si>
    <t xml:space="preserve">src/core/config.ts</t>
  </si>
  <si>
    <t xml:space="preserve">src/core/mcp-sync.ts</t>
  </si>
  <si>
    <t xml:space="preserve">src/core/skill-sync.ts</t>
  </si>
  <si>
    <t xml:space="preserve">src/core/symlink.ts</t>
  </si>
  <si>
    <t xml:space="preserve">src/utils/log.ts</t>
  </si>
  <si>
    <t xml:space="preserve">src/utils/prompt.ts</t>
  </si>
  <si>
    <t xml:space="preserve">tsconfig.json</t>
  </si>
  <si>
    <t xml:space="preserve">Project Dashboard</t>
  </si>
  <si>
    <t xml:space="preserve">File Category</t>
  </si>
  <si>
    <t xml:space="preserve">Count</t>
  </si>
  <si>
    <t xml:space="preserve">Target Scope</t>
  </si>
  <si>
    <t xml:space="preserve">Top-Line Metrics</t>
  </si>
  <si>
    <t xml:space="preserve">Agents</t>
  </si>
  <si>
    <t xml:space="preserve">Scripts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</si>
</sst>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808080"/>
      <name val="Arial"/>
      <family val="0"/>
      <charset val="1"/>
    </font>
    <font>
      <sz val="10"/>
      <name val="Arial"/>
      <family val="2"/>
    </font>
    <font>
      <sz val="11"/>
      <color theme="1"/>
      <name val="Arial"/>
      <family val="2"/>
      <charset val="1"/>
    </font>
    <font>
      <b val="true"/>
      <sz val="1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2F0D9"/>
      </patternFill>
    </fill>
    <fill>
      <patternFill patternType="solid">
        <fgColor rgb="FFF3F6F9"/>
        <bgColor rgb="FFFFFFFF"/>
      </patternFill>
    </fill>
    <fill>
      <patternFill patternType="solid">
        <fgColor rgb="FFE2F0D9"/>
        <bgColor rgb="FFD9EAF7"/>
      </patternFill>
    </fill>
    <fill>
      <patternFill patternType="solid">
        <fgColor rgb="FFFFF2CC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FF2CC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>
          <bgColor rgb="FFF4CCCC"/>
        </patternFill>
      </fill>
    </dxf>
    <dxf>
      <fill>
        <patternFill patternType="solid">
          <fgColor rgb="FFE2F0D8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E3EFD4"/>
          <bgColor rgb="FF000000"/>
        </patternFill>
      </fill>
    </dxf>
    <dxf>
      <fill>
        <patternFill patternType="solid">
          <fgColor rgb="FFE4EFD0"/>
          <bgColor rgb="FF000000"/>
        </patternFill>
      </fill>
    </dxf>
    <dxf>
      <fill>
        <patternFill patternType="solid">
          <fgColor rgb="FFE5EECC"/>
          <bgColor rgb="FF000000"/>
        </patternFill>
      </fill>
    </dxf>
    <dxf>
      <fill>
        <patternFill patternType="solid">
          <fgColor rgb="FFE6EDC7"/>
          <bgColor rgb="FF000000"/>
        </patternFill>
      </fill>
    </dxf>
    <dxf>
      <fill>
        <patternFill patternType="solid">
          <fgColor rgb="FFE6EDC8"/>
          <bgColor rgb="FF000000"/>
        </patternFill>
      </fill>
    </dxf>
    <dxf>
      <fill>
        <patternFill patternType="solid">
          <fgColor rgb="FFE6EDC9"/>
          <bgColor rgb="FF000000"/>
        </patternFill>
      </fill>
    </dxf>
    <dxf>
      <fill>
        <patternFill patternType="solid">
          <fgColor rgb="FFE8EBBE"/>
          <bgColor rgb="FF000000"/>
        </patternFill>
      </fill>
    </dxf>
    <dxf>
      <fill>
        <patternFill patternType="solid">
          <fgColor rgb="FFE8ECC1"/>
          <bgColor rgb="FF000000"/>
        </patternFill>
      </fill>
    </dxf>
    <dxf>
      <fill>
        <patternFill patternType="solid">
          <fgColor rgb="FFE9EBBC"/>
          <bgColor rgb="FF000000"/>
        </patternFill>
      </fill>
    </dxf>
    <dxf>
      <fill>
        <patternFill patternType="solid">
          <fgColor rgb="FFE9EBBD"/>
          <bgColor rgb="FF000000"/>
        </patternFill>
      </fill>
    </dxf>
    <dxf>
      <fill>
        <patternFill patternType="solid">
          <fgColor rgb="FFEAE9B6"/>
          <bgColor rgb="FF000000"/>
        </patternFill>
      </fill>
    </dxf>
    <dxf>
      <fill>
        <patternFill patternType="solid">
          <fgColor rgb="FFEBE9B3"/>
          <bgColor rgb="FF000000"/>
        </patternFill>
      </fill>
    </dxf>
    <dxf>
      <fill>
        <patternFill patternType="solid">
          <fgColor rgb="FFEBE9B4"/>
          <bgColor rgb="FF000000"/>
        </patternFill>
      </fill>
    </dxf>
    <dxf>
      <fill>
        <patternFill patternType="solid">
          <fgColor rgb="FFEBE9B5"/>
          <bgColor rgb="FF000000"/>
        </patternFill>
      </fill>
    </dxf>
    <dxf>
      <fill>
        <patternFill patternType="solid">
          <fgColor rgb="FFEBE9B6"/>
          <bgColor rgb="FF000000"/>
        </patternFill>
      </fill>
    </dxf>
    <dxf>
      <fill>
        <patternFill patternType="solid">
          <fgColor rgb="FFECE8B0"/>
          <bgColor rgb="FF000000"/>
        </patternFill>
      </fill>
    </dxf>
    <dxf>
      <fill>
        <patternFill patternType="solid">
          <fgColor rgb="FFECE8B1"/>
          <bgColor rgb="FF000000"/>
        </patternFill>
      </fill>
    </dxf>
    <dxf>
      <fill>
        <patternFill patternType="solid">
          <fgColor rgb="FFF0E5A0"/>
          <bgColor rgb="FF000000"/>
        </patternFill>
      </fill>
    </dxf>
    <dxf>
      <fill>
        <patternFill patternType="solid">
          <fgColor rgb="FFF8DE7F"/>
          <bgColor rgb="FF000000"/>
        </patternFill>
      </fill>
    </dxf>
    <dxf>
      <fill>
        <patternFill patternType="solid">
          <fgColor rgb="FFF8DF82"/>
          <bgColor rgb="FF000000"/>
        </patternFill>
      </fill>
    </dxf>
    <dxf>
      <fill>
        <patternFill patternType="solid">
          <fgColor rgb="FFFBDC72"/>
          <bgColor rgb="FF000000"/>
        </patternFill>
      </fill>
    </dxf>
    <dxf>
      <fill>
        <patternFill patternType="solid">
          <fgColor rgb="FFFCD586"/>
          <bgColor rgb="FF000000"/>
        </patternFill>
      </fill>
    </dxf>
    <dxf>
      <fill>
        <patternFill patternType="solid">
          <fgColor rgb="FFFCDB6F"/>
          <bgColor rgb="FF000000"/>
        </patternFill>
      </fill>
    </dxf>
    <dxf>
      <fill>
        <patternFill patternType="solid">
          <fgColor rgb="FFFDD77B"/>
          <bgColor rgb="FF000000"/>
        </patternFill>
      </fill>
    </dxf>
    <dxf>
      <fill>
        <patternFill patternType="solid">
          <fgColor rgb="FFFED871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D967"/>
          <bgColor rgb="FF000000"/>
        </patternFill>
      </fill>
    </dxf>
    <dxf>
      <fill>
        <patternFill patternType="solid">
          <fgColor rgb="FFFFD968"/>
          <bgColor rgb="FF000000"/>
        </patternFill>
      </fill>
    </dxf>
    <dxf>
      <fill>
        <patternFill patternType="solid">
          <fgColor rgb="FFFFD969"/>
          <bgColor rgb="FF000000"/>
        </patternFill>
      </fill>
    </dxf>
    <dxf>
      <fill>
        <patternFill patternType="solid">
          <fgColor rgb="FFFFD96A"/>
          <bgColor rgb="FF000000"/>
        </patternFill>
      </fill>
    </dxf>
    <dxf>
      <fill>
        <patternFill patternType="solid">
          <fgColor rgb="FFFFD96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C0504D"/>
      <rgbColor rgb="FFFFF2CC"/>
      <rgbColor rgb="FFD9EAF7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9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BBB59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Repository File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Dashboard!$A$4:$A$9</c:f>
              <c:strCache>
                <c:ptCount val="6"/>
                <c:pt idx="0">
                  <c:v>Docs</c:v>
                </c:pt>
                <c:pt idx="1">
                  <c:v>Config</c:v>
                </c:pt>
                <c:pt idx="2">
                  <c:v>Source</c:v>
                </c:pt>
                <c:pt idx="3">
                  <c:v>Build</c:v>
                </c:pt>
                <c:pt idx="4">
                  <c:v>Asset</c:v>
                </c:pt>
                <c:pt idx="5">
                  <c:v>Code</c:v>
                </c:pt>
              </c:strCache>
            </c:strRef>
          </c:cat>
          <c:val>
            <c:numRef>
              <c:f>Dashboard!$B$4:$B$9</c:f>
              <c:numCache>
                <c:formatCode>General</c:formatCode>
                <c:ptCount val="6"/>
                <c:pt idx="0">
                  <c:v>9</c:v>
                </c:pt>
                <c:pt idx="1">
                  <c:v>3</c:v>
                </c:pt>
                <c:pt idx="2">
                  <c:v>9</c:v>
                </c:pt>
                <c:pt idx="3">
                  <c:v>27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</c:ser>
        <c:gapWidth val="150"/>
        <c:overlap val="0"/>
        <c:axId val="82756059"/>
        <c:axId val="75360908"/>
      </c:barChart>
      <c:catAx>
        <c:axId val="827560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360908"/>
        <c:crosses val="autoZero"/>
        <c:auto val="1"/>
        <c:lblAlgn val="ctr"/>
        <c:lblOffset val="100"/>
        <c:noMultiLvlLbl val="0"/>
      </c:catAx>
      <c:valAx>
        <c:axId val="753609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Files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75605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Sync Scope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Dashboard!E3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Dashboard!$D$4:$D$6</c:f>
              <c:strCache>
                <c:ptCount val="3"/>
                <c:pt idx="0">
                  <c:v>Instructions</c:v>
                </c:pt>
                <c:pt idx="1">
                  <c:v>Skills Sync</c:v>
                </c:pt>
                <c:pt idx="2">
                  <c:v>MCP</c:v>
                </c:pt>
              </c:strCache>
            </c:strRef>
          </c:cat>
          <c:val>
            <c:numRef>
              <c:f>Dashboard!$E$4:$E$6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6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13</xdr:col>
      <xdr:colOff>38880</xdr:colOff>
      <xdr:row>15</xdr:row>
      <xdr:rowOff>43200</xdr:rowOff>
    </xdr:to>
    <xdr:graphicFrame>
      <xdr:nvGraphicFramePr>
        <xdr:cNvPr id="1" name="Chart 1"/>
        <xdr:cNvGraphicFramePr/>
      </xdr:nvGraphicFramePr>
      <xdr:xfrm>
        <a:off x="8341920" y="44064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11</xdr:col>
      <xdr:colOff>182160</xdr:colOff>
      <xdr:row>32</xdr:row>
      <xdr:rowOff>43200</xdr:rowOff>
    </xdr:to>
    <xdr:graphicFrame>
      <xdr:nvGraphicFramePr>
        <xdr:cNvPr id="2" name="Chart 2"/>
        <xdr:cNvGraphicFramePr/>
      </xdr:nvGraphicFramePr>
      <xdr:xfrm>
        <a:off x="8341920" y="367920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mmandsTable" displayName="CommandsTable" ref="A1:D10" headerRowCount="1" totalsRowCount="0" totalsRowShown="0">
  <autoFilter ref="A1:D10"/>
  <tableColumns count="4">
    <tableColumn id="1" name="Category"/>
    <tableColumn id="2" name="Command"/>
    <tableColumn id="3" name="Purpose"/>
    <tableColumn id="4" name="Source URL"/>
  </tableColumns>
</table>
</file>

<file path=xl/tables/table2.xml><?xml version="1.0" encoding="utf-8"?>
<table xmlns="http://schemas.openxmlformats.org/spreadsheetml/2006/main" id="2" name="FilesTable" displayName="FilesTable" ref="A1:F53" headerRowCount="1" totalsRowCount="0" totalsRowShown="0">
  <autoFilter ref="A1:F53"/>
  <tableColumns count="6">
    <tableColumn id="1" name="Relative Path"/>
    <tableColumn id="2" name="Ext"/>
    <tableColumn id="3" name="Category"/>
    <tableColumn id="4" name="Size (KB)"/>
    <tableColumn id="5" name="Top Folder"/>
    <tableColumn id="6" name="Source URL"/>
  </tableColumns>
</table>
</file>

<file path=xl/tables/table3.xml><?xml version="1.0" encoding="utf-8"?>
<table xmlns="http://schemas.openxmlformats.org/spreadsheetml/2006/main" id="3" name="ScriptsTable" displayName="ScriptsTable" ref="A1:D6" headerRowCount="1" totalsRowCount="0" totalsRowShown="0">
  <autoFilter ref="A1:D6"/>
  <tableColumns count="4">
    <tableColumn id="1" name="Script"/>
    <tableColumn id="2" name="Command"/>
    <tableColumn id="3" name="Type"/>
    <tableColumn id="4" name="Source URL"/>
  </tableColumns>
</table>
</file>

<file path=xl/tables/table4.xml><?xml version="1.0" encoding="utf-8"?>
<table xmlns="http://schemas.openxmlformats.org/spreadsheetml/2006/main" id="4" name="TargetsTable" displayName="TargetsTable" ref="A1:E14" headerRowCount="1" totalsRowCount="0" totalsRowShown="0">
  <autoFilter ref="A1:E14"/>
  <tableColumns count="5">
    <tableColumn id="1" name="Scope"/>
    <tableColumn id="2" name="Target"/>
    <tableColumn id="3" name="Path"/>
    <tableColumn id="4" name="Format"/>
    <tableColumn id="5" name="Agent/Us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github.com/lidge-jun/agent-sync.git" TargetMode="Externa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60"/>
    <col collapsed="false" customWidth="true" hidden="false" outlineLevel="0" max="4" min="4" style="0" width="60"/>
    <col collapsed="false" customWidth="true" hidden="false" outlineLevel="0" max="5" min="5" style="0" width="38"/>
    <col collapsed="false" customWidth="true" hidden="false" outlineLevel="0" max="6" min="6" style="0" width="33"/>
    <col collapsed="false" customWidth="true" hidden="true" outlineLevel="0" max="8" min="8" style="0" width="1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A4" s="2" t="s">
        <v>1</v>
      </c>
      <c r="B4" s="3" t="s">
        <v>2</v>
      </c>
      <c r="D4" s="4" t="s">
        <v>3</v>
      </c>
      <c r="E4" s="4" t="s">
        <v>4</v>
      </c>
      <c r="F4" s="4" t="s">
        <v>5</v>
      </c>
      <c r="H4" s="0" t="s">
        <v>6</v>
      </c>
    </row>
    <row r="5" customFormat="false" ht="15" hidden="false" customHeight="false" outlineLevel="0" collapsed="false">
      <c r="A5" s="2" t="s">
        <v>7</v>
      </c>
      <c r="B5" s="3" t="s">
        <v>8</v>
      </c>
      <c r="D5" s="5" t="s">
        <v>9</v>
      </c>
      <c r="E5" s="6" t="n">
        <f aca="false">COUNTA(Overview!H5:H10)</f>
        <v>6</v>
      </c>
      <c r="F5" s="6" t="s">
        <v>10</v>
      </c>
      <c r="H5" s="7" t="s">
        <v>11</v>
      </c>
    </row>
    <row r="6" customFormat="false" ht="15" hidden="false" customHeight="false" outlineLevel="0" collapsed="false">
      <c r="A6" s="2" t="s">
        <v>12</v>
      </c>
      <c r="B6" s="3" t="s">
        <v>13</v>
      </c>
      <c r="D6" s="5" t="s">
        <v>14</v>
      </c>
      <c r="E6" s="6" t="n">
        <f aca="false">COUNTIF(Targets!A:A,"Instructions")</f>
        <v>4</v>
      </c>
      <c r="F6" s="6" t="s">
        <v>15</v>
      </c>
      <c r="H6" s="7" t="s">
        <v>16</v>
      </c>
    </row>
    <row r="7" customFormat="false" ht="23.85" hidden="false" customHeight="false" outlineLevel="0" collapsed="false">
      <c r="A7" s="2" t="s">
        <v>17</v>
      </c>
      <c r="B7" s="3" t="s">
        <v>18</v>
      </c>
      <c r="D7" s="5" t="s">
        <v>19</v>
      </c>
      <c r="E7" s="6" t="n">
        <f aca="false">COUNTIF(Targets!A:A,"MCP")</f>
        <v>6</v>
      </c>
      <c r="F7" s="6" t="s">
        <v>20</v>
      </c>
      <c r="H7" s="7" t="s">
        <v>21</v>
      </c>
    </row>
    <row r="8" customFormat="false" ht="15" hidden="false" customHeight="false" outlineLevel="0" collapsed="false">
      <c r="A8" s="2" t="s">
        <v>22</v>
      </c>
      <c r="B8" s="3" t="s">
        <v>23</v>
      </c>
      <c r="D8" s="5" t="s">
        <v>24</v>
      </c>
      <c r="E8" s="6" t="n">
        <f aca="false">COUNTA(Scripts!A:A)-1</f>
        <v>5</v>
      </c>
      <c r="F8" s="6" t="s">
        <v>25</v>
      </c>
      <c r="H8" s="7" t="s">
        <v>26</v>
      </c>
    </row>
    <row r="9" customFormat="false" ht="15" hidden="false" customHeight="false" outlineLevel="0" collapsed="false">
      <c r="A9" s="2" t="s">
        <v>27</v>
      </c>
      <c r="B9" s="3" t="s">
        <v>28</v>
      </c>
      <c r="D9" s="5" t="s">
        <v>29</v>
      </c>
      <c r="E9" s="6" t="n">
        <f aca="false">COUNTA(Files!A:A)-1</f>
        <v>52</v>
      </c>
      <c r="F9" s="6" t="s">
        <v>30</v>
      </c>
      <c r="H9" s="7" t="s">
        <v>31</v>
      </c>
    </row>
    <row r="10" customFormat="false" ht="15" hidden="false" customHeight="false" outlineLevel="0" collapsed="false">
      <c r="A10" s="2" t="s">
        <v>32</v>
      </c>
      <c r="B10" s="8" t="s">
        <v>33</v>
      </c>
      <c r="D10" s="5" t="s">
        <v>34</v>
      </c>
      <c r="E10" s="6" t="n">
        <f aca="false">COUNTA(Dashboard!A4:A9)</f>
        <v>6</v>
      </c>
      <c r="F10" s="6" t="s">
        <v>35</v>
      </c>
      <c r="H10" s="7" t="s">
        <v>36</v>
      </c>
    </row>
    <row r="11" customFormat="false" ht="15" hidden="false" customHeight="false" outlineLevel="0" collapsed="false">
      <c r="A11" s="2" t="s">
        <v>37</v>
      </c>
      <c r="B11" s="8" t="s">
        <v>38</v>
      </c>
    </row>
    <row r="12" customFormat="false" ht="15" hidden="false" customHeight="false" outlineLevel="0" collapsed="false">
      <c r="D12" s="9" t="s">
        <v>39</v>
      </c>
    </row>
    <row r="13" customFormat="false" ht="15" hidden="false" customHeight="true" outlineLevel="0" collapsed="false">
      <c r="D13" s="10" t="s">
        <v>40</v>
      </c>
      <c r="E13" s="10"/>
      <c r="F13" s="10"/>
    </row>
    <row r="14" customFormat="false" ht="15" hidden="false" customHeight="false" outlineLevel="0" collapsed="false">
      <c r="D14" s="10"/>
      <c r="E14" s="10"/>
      <c r="F14" s="10"/>
    </row>
  </sheetData>
  <mergeCells count="2">
    <mergeCell ref="A1:H2"/>
    <mergeCell ref="D13:F14"/>
  </mergeCells>
  <dataValidations count="2">
    <dataValidation allowBlank="false" errorStyle="stop" operator="between" showDropDown="false" showErrorMessage="false" showInputMessage="false" sqref="B10" type="list">
      <formula1>"Draft,Reviewed,Ready to Share"</formula1>
      <formula2>0</formula2>
    </dataValidation>
    <dataValidation allowBlank="false" errorStyle="stop" operator="between" showDropDown="false" showErrorMessage="false" showInputMessage="false" sqref="B11" type="list">
      <formula1>"MCP sync review,Prompt targets,Skill symlinks,CLI scripts,Release flow"</formula1>
      <formula2>0</formula2>
    </dataValidation>
  </dataValidations>
  <hyperlinks>
    <hyperlink ref="B8" r:id="rId2" display="https://github.com/lidge-jun/agent-sync.gi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7"/>
    <col collapsed="false" customWidth="true" hidden="false" outlineLevel="0" max="3" min="3" style="0" width="45"/>
    <col collapsed="false" customWidth="true" hidden="false" outlineLevel="0" max="4" min="4" style="0" width="41"/>
  </cols>
  <sheetData>
    <row r="1" customFormat="false" ht="15" hidden="false" customHeight="false" outlineLevel="0" collapsed="false">
      <c r="A1" s="11" t="s">
        <v>41</v>
      </c>
      <c r="B1" s="11" t="s">
        <v>42</v>
      </c>
      <c r="C1" s="11" t="s">
        <v>43</v>
      </c>
      <c r="D1" s="11" t="s">
        <v>44</v>
      </c>
    </row>
    <row r="2" customFormat="false" ht="15" hidden="false" customHeight="false" outlineLevel="0" collapsed="false">
      <c r="A2" s="12" t="s">
        <v>45</v>
      </c>
      <c r="B2" s="12" t="s">
        <v>46</v>
      </c>
      <c r="C2" s="12" t="s">
        <v>47</v>
      </c>
      <c r="D2" s="12" t="s">
        <v>48</v>
      </c>
    </row>
    <row r="3" customFormat="false" ht="15" hidden="false" customHeight="false" outlineLevel="0" collapsed="false">
      <c r="A3" s="12" t="s">
        <v>49</v>
      </c>
      <c r="B3" s="12" t="s">
        <v>2</v>
      </c>
      <c r="C3" s="12" t="s">
        <v>50</v>
      </c>
      <c r="D3" s="12" t="s">
        <v>48</v>
      </c>
    </row>
    <row r="4" customFormat="false" ht="15" hidden="false" customHeight="false" outlineLevel="0" collapsed="false">
      <c r="A4" s="12" t="s">
        <v>51</v>
      </c>
      <c r="B4" s="12" t="s">
        <v>52</v>
      </c>
      <c r="C4" s="12" t="s">
        <v>53</v>
      </c>
      <c r="D4" s="12" t="s">
        <v>48</v>
      </c>
    </row>
    <row r="5" customFormat="false" ht="15" hidden="false" customHeight="false" outlineLevel="0" collapsed="false">
      <c r="A5" s="12" t="s">
        <v>54</v>
      </c>
      <c r="B5" s="12" t="s">
        <v>55</v>
      </c>
      <c r="C5" s="12" t="s">
        <v>56</v>
      </c>
      <c r="D5" s="12" t="s">
        <v>48</v>
      </c>
    </row>
    <row r="6" customFormat="false" ht="15" hidden="false" customHeight="false" outlineLevel="0" collapsed="false">
      <c r="A6" s="12" t="s">
        <v>57</v>
      </c>
      <c r="B6" s="12" t="s">
        <v>58</v>
      </c>
      <c r="C6" s="12" t="s">
        <v>59</v>
      </c>
      <c r="D6" s="12" t="s">
        <v>48</v>
      </c>
    </row>
    <row r="7" customFormat="false" ht="15" hidden="false" customHeight="false" outlineLevel="0" collapsed="false">
      <c r="A7" s="12" t="s">
        <v>60</v>
      </c>
      <c r="B7" s="12" t="s">
        <v>61</v>
      </c>
      <c r="C7" s="12" t="s">
        <v>62</v>
      </c>
      <c r="D7" s="12" t="s">
        <v>48</v>
      </c>
    </row>
    <row r="8" customFormat="false" ht="15" hidden="false" customHeight="false" outlineLevel="0" collapsed="false">
      <c r="A8" s="12" t="s">
        <v>63</v>
      </c>
      <c r="B8" s="12" t="s">
        <v>64</v>
      </c>
      <c r="C8" s="12" t="s">
        <v>65</v>
      </c>
      <c r="D8" s="12" t="s">
        <v>48</v>
      </c>
    </row>
    <row r="9" customFormat="false" ht="15" hidden="false" customHeight="false" outlineLevel="0" collapsed="false">
      <c r="A9" s="12" t="s">
        <v>66</v>
      </c>
      <c r="B9" s="12" t="s">
        <v>67</v>
      </c>
      <c r="C9" s="12" t="s">
        <v>68</v>
      </c>
      <c r="D9" s="12" t="s">
        <v>48</v>
      </c>
    </row>
    <row r="10" customFormat="false" ht="15" hidden="false" customHeight="false" outlineLevel="0" collapsed="false">
      <c r="A10" s="12" t="s">
        <v>69</v>
      </c>
      <c r="B10" s="12" t="s">
        <v>70</v>
      </c>
      <c r="C10" s="12" t="s">
        <v>71</v>
      </c>
      <c r="D10" s="12" t="s">
        <v>48</v>
      </c>
    </row>
  </sheetData>
  <conditionalFormatting sqref="A2:A10">
    <cfRule type="colorScale" priority="2">
      <colorScale>
        <cfvo type="min" val="0"/>
        <cfvo type="percentile" val="50"/>
        <cfvo type="max" val="0"/>
        <color rgb="FFDDEBF7"/>
        <color rgb="FF9DC3E6"/>
        <color rgb="FF2F75B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9"/>
    <col collapsed="false" customWidth="true" hidden="false" outlineLevel="0" max="4" min="3" style="0" width="16"/>
    <col collapsed="false" customWidth="true" hidden="false" outlineLevel="0" max="5" min="5" style="0" width="23"/>
  </cols>
  <sheetData>
    <row r="1" customFormat="false" ht="15" hidden="false" customHeight="false" outlineLevel="0" collapsed="false">
      <c r="A1" s="11" t="s">
        <v>72</v>
      </c>
      <c r="B1" s="11" t="s">
        <v>73</v>
      </c>
      <c r="C1" s="11" t="s">
        <v>74</v>
      </c>
      <c r="D1" s="11" t="s">
        <v>75</v>
      </c>
      <c r="E1" s="11" t="s">
        <v>76</v>
      </c>
    </row>
    <row r="2" customFormat="false" ht="15" hidden="false" customHeight="false" outlineLevel="0" collapsed="false">
      <c r="A2" s="12" t="s">
        <v>57</v>
      </c>
      <c r="B2" s="12" t="s">
        <v>77</v>
      </c>
      <c r="C2" s="12" t="s">
        <v>78</v>
      </c>
      <c r="D2" s="12" t="s">
        <v>79</v>
      </c>
      <c r="E2" s="12" t="s">
        <v>80</v>
      </c>
    </row>
    <row r="3" customFormat="false" ht="15" hidden="false" customHeight="false" outlineLevel="0" collapsed="false">
      <c r="A3" s="12" t="s">
        <v>57</v>
      </c>
      <c r="B3" s="12" t="s">
        <v>81</v>
      </c>
      <c r="C3" s="12" t="s">
        <v>78</v>
      </c>
      <c r="D3" s="12" t="s">
        <v>79</v>
      </c>
      <c r="E3" s="12" t="s">
        <v>11</v>
      </c>
    </row>
    <row r="4" customFormat="false" ht="15" hidden="false" customHeight="false" outlineLevel="0" collapsed="false">
      <c r="A4" s="12" t="s">
        <v>57</v>
      </c>
      <c r="B4" s="12" t="s">
        <v>82</v>
      </c>
      <c r="C4" s="12" t="s">
        <v>83</v>
      </c>
      <c r="D4" s="12" t="s">
        <v>79</v>
      </c>
      <c r="E4" s="12" t="s">
        <v>21</v>
      </c>
    </row>
    <row r="5" customFormat="false" ht="15" hidden="false" customHeight="false" outlineLevel="0" collapsed="false">
      <c r="A5" s="12" t="s">
        <v>57</v>
      </c>
      <c r="B5" s="12" t="s">
        <v>84</v>
      </c>
      <c r="C5" s="12" t="s">
        <v>85</v>
      </c>
      <c r="D5" s="12" t="s">
        <v>79</v>
      </c>
      <c r="E5" s="12" t="s">
        <v>31</v>
      </c>
    </row>
    <row r="6" customFormat="false" ht="15" hidden="false" customHeight="false" outlineLevel="0" collapsed="false">
      <c r="A6" s="12" t="s">
        <v>86</v>
      </c>
      <c r="B6" s="12" t="s">
        <v>87</v>
      </c>
      <c r="C6" s="12" t="s">
        <v>78</v>
      </c>
      <c r="D6" s="12" t="s">
        <v>88</v>
      </c>
      <c r="E6" s="12" t="s">
        <v>89</v>
      </c>
    </row>
    <row r="7" customFormat="false" ht="15" hidden="false" customHeight="false" outlineLevel="0" collapsed="false">
      <c r="A7" s="12" t="s">
        <v>86</v>
      </c>
      <c r="B7" s="12" t="s">
        <v>90</v>
      </c>
      <c r="C7" s="12" t="s">
        <v>91</v>
      </c>
      <c r="D7" s="12" t="s">
        <v>92</v>
      </c>
      <c r="E7" s="12" t="s">
        <v>31</v>
      </c>
    </row>
    <row r="8" customFormat="false" ht="15" hidden="false" customHeight="false" outlineLevel="0" collapsed="false">
      <c r="A8" s="12" t="s">
        <v>86</v>
      </c>
      <c r="B8" s="12" t="s">
        <v>93</v>
      </c>
      <c r="C8" s="12" t="s">
        <v>91</v>
      </c>
      <c r="D8" s="12" t="s">
        <v>92</v>
      </c>
      <c r="E8" s="12" t="s">
        <v>11</v>
      </c>
    </row>
    <row r="9" customFormat="false" ht="15" hidden="false" customHeight="false" outlineLevel="0" collapsed="false">
      <c r="A9" s="12" t="s">
        <v>51</v>
      </c>
      <c r="B9" s="12" t="s">
        <v>94</v>
      </c>
      <c r="C9" s="12" t="s">
        <v>95</v>
      </c>
      <c r="D9" s="12" t="s">
        <v>96</v>
      </c>
      <c r="E9" s="12" t="s">
        <v>11</v>
      </c>
    </row>
    <row r="10" customFormat="false" ht="15" hidden="false" customHeight="false" outlineLevel="0" collapsed="false">
      <c r="A10" s="12" t="s">
        <v>51</v>
      </c>
      <c r="B10" s="12" t="s">
        <v>97</v>
      </c>
      <c r="C10" s="12" t="s">
        <v>95</v>
      </c>
      <c r="D10" s="12" t="s">
        <v>98</v>
      </c>
      <c r="E10" s="12" t="s">
        <v>99</v>
      </c>
    </row>
    <row r="11" customFormat="false" ht="15" hidden="false" customHeight="false" outlineLevel="0" collapsed="false">
      <c r="A11" s="12" t="s">
        <v>51</v>
      </c>
      <c r="B11" s="12" t="s">
        <v>100</v>
      </c>
      <c r="C11" s="12" t="s">
        <v>95</v>
      </c>
      <c r="D11" s="12" t="s">
        <v>96</v>
      </c>
      <c r="E11" s="12" t="s">
        <v>26</v>
      </c>
    </row>
    <row r="12" customFormat="false" ht="15" hidden="false" customHeight="false" outlineLevel="0" collapsed="false">
      <c r="A12" s="12" t="s">
        <v>51</v>
      </c>
      <c r="B12" s="12" t="s">
        <v>101</v>
      </c>
      <c r="C12" s="12" t="s">
        <v>95</v>
      </c>
      <c r="D12" s="12" t="s">
        <v>96</v>
      </c>
      <c r="E12" s="12" t="s">
        <v>36</v>
      </c>
    </row>
    <row r="13" customFormat="false" ht="15" hidden="false" customHeight="false" outlineLevel="0" collapsed="false">
      <c r="A13" s="12" t="s">
        <v>51</v>
      </c>
      <c r="B13" s="12" t="s">
        <v>102</v>
      </c>
      <c r="C13" s="12" t="s">
        <v>95</v>
      </c>
      <c r="D13" s="12" t="s">
        <v>96</v>
      </c>
      <c r="E13" s="12" t="s">
        <v>21</v>
      </c>
    </row>
    <row r="14" customFormat="false" ht="15" hidden="false" customHeight="false" outlineLevel="0" collapsed="false">
      <c r="A14" s="12" t="s">
        <v>51</v>
      </c>
      <c r="B14" s="12" t="s">
        <v>103</v>
      </c>
      <c r="C14" s="12" t="s">
        <v>95</v>
      </c>
      <c r="D14" s="12" t="s">
        <v>96</v>
      </c>
      <c r="E14" s="12" t="s">
        <v>31</v>
      </c>
    </row>
  </sheetData>
  <conditionalFormatting sqref="A2:A14">
    <cfRule type="cellIs" priority="2" operator="equal" aboveAverage="0" equalAverage="0" bottom="0" percent="0" rank="0" text="" dxfId="5">
      <formula>"MCP"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1"/>
    <col collapsed="false" customWidth="true" hidden="false" outlineLevel="0" max="3" min="3" style="0" width="12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11" t="s">
        <v>104</v>
      </c>
      <c r="B1" s="11" t="s">
        <v>42</v>
      </c>
      <c r="C1" s="11" t="s">
        <v>105</v>
      </c>
      <c r="D1" s="11" t="s">
        <v>44</v>
      </c>
    </row>
    <row r="2" customFormat="false" ht="15" hidden="false" customHeight="false" outlineLevel="0" collapsed="false">
      <c r="A2" s="12" t="s">
        <v>106</v>
      </c>
      <c r="B2" s="12" t="s">
        <v>107</v>
      </c>
      <c r="C2" s="12" t="s">
        <v>60</v>
      </c>
      <c r="D2" s="12" t="s">
        <v>23</v>
      </c>
    </row>
    <row r="3" customFormat="false" ht="15" hidden="false" customHeight="false" outlineLevel="0" collapsed="false">
      <c r="A3" s="12" t="s">
        <v>108</v>
      </c>
      <c r="B3" s="12" t="s">
        <v>109</v>
      </c>
      <c r="C3" s="12" t="s">
        <v>63</v>
      </c>
      <c r="D3" s="12" t="s">
        <v>23</v>
      </c>
    </row>
    <row r="4" customFormat="false" ht="15" hidden="false" customHeight="false" outlineLevel="0" collapsed="false">
      <c r="A4" s="12" t="s">
        <v>110</v>
      </c>
      <c r="B4" s="12" t="s">
        <v>111</v>
      </c>
      <c r="C4" s="12" t="s">
        <v>66</v>
      </c>
      <c r="D4" s="12" t="s">
        <v>23</v>
      </c>
    </row>
    <row r="5" customFormat="false" ht="15" hidden="false" customHeight="false" outlineLevel="0" collapsed="false">
      <c r="A5" s="12" t="s">
        <v>112</v>
      </c>
      <c r="B5" s="12" t="s">
        <v>113</v>
      </c>
      <c r="C5" s="12" t="s">
        <v>69</v>
      </c>
      <c r="D5" s="12" t="s">
        <v>23</v>
      </c>
    </row>
    <row r="6" customFormat="false" ht="15" hidden="false" customHeight="false" outlineLevel="0" collapsed="false">
      <c r="A6" s="12" t="s">
        <v>114</v>
      </c>
      <c r="B6" s="12" t="s">
        <v>115</v>
      </c>
      <c r="C6" s="12" t="s">
        <v>69</v>
      </c>
      <c r="D6" s="12" t="s">
        <v>23</v>
      </c>
    </row>
  </sheetData>
  <conditionalFormatting sqref="C2:C6">
    <cfRule type="cellIs" priority="2" operator="equal" aboveAverage="0" equalAverage="0" bottom="0" percent="0" rank="0" text="" dxfId="7">
      <formula>"Release"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19"/>
    <col collapsed="false" customWidth="true" hidden="false" outlineLevel="0" max="6" min="6" style="0" width="41"/>
  </cols>
  <sheetData>
    <row r="1" customFormat="false" ht="15" hidden="false" customHeight="false" outlineLevel="0" collapsed="false">
      <c r="A1" s="11" t="s">
        <v>116</v>
      </c>
      <c r="B1" s="11" t="s">
        <v>117</v>
      </c>
      <c r="C1" s="11" t="s">
        <v>41</v>
      </c>
      <c r="D1" s="11" t="s">
        <v>118</v>
      </c>
      <c r="E1" s="11" t="s">
        <v>119</v>
      </c>
      <c r="F1" s="11" t="s">
        <v>44</v>
      </c>
    </row>
    <row r="2" customFormat="false" ht="15" hidden="false" customHeight="false" outlineLevel="0" collapsed="false">
      <c r="A2" s="12" t="s">
        <v>120</v>
      </c>
      <c r="B2" s="12" t="s">
        <v>121</v>
      </c>
      <c r="C2" s="12" t="s">
        <v>122</v>
      </c>
      <c r="D2" s="12" t="n">
        <v>8.3515625</v>
      </c>
      <c r="E2" s="12" t="s">
        <v>123</v>
      </c>
      <c r="F2" s="12" t="s">
        <v>48</v>
      </c>
    </row>
    <row r="3" customFormat="false" ht="15" hidden="false" customHeight="false" outlineLevel="0" collapsed="false">
      <c r="A3" s="12" t="s">
        <v>124</v>
      </c>
      <c r="B3" s="12" t="s">
        <v>121</v>
      </c>
      <c r="C3" s="12" t="s">
        <v>122</v>
      </c>
      <c r="D3" s="12" t="n">
        <v>8.3515625</v>
      </c>
      <c r="E3" s="12" t="s">
        <v>125</v>
      </c>
      <c r="F3" s="12" t="s">
        <v>48</v>
      </c>
    </row>
    <row r="4" customFormat="false" ht="15" hidden="false" customHeight="false" outlineLevel="0" collapsed="false">
      <c r="A4" s="12" t="s">
        <v>126</v>
      </c>
      <c r="B4" s="12" t="s">
        <v>127</v>
      </c>
      <c r="C4" s="12" t="s">
        <v>128</v>
      </c>
      <c r="D4" s="12" t="n">
        <v>0.0380859375</v>
      </c>
      <c r="E4" s="12" t="s">
        <v>126</v>
      </c>
      <c r="F4" s="12" t="s">
        <v>48</v>
      </c>
    </row>
    <row r="5" customFormat="false" ht="15" hidden="false" customHeight="false" outlineLevel="0" collapsed="false">
      <c r="A5" s="12" t="s">
        <v>77</v>
      </c>
      <c r="B5" s="12" t="s">
        <v>121</v>
      </c>
      <c r="C5" s="12" t="s">
        <v>122</v>
      </c>
      <c r="D5" s="12" t="n">
        <v>8.3515625</v>
      </c>
      <c r="E5" s="12" t="s">
        <v>77</v>
      </c>
      <c r="F5" s="12" t="s">
        <v>48</v>
      </c>
    </row>
    <row r="6" customFormat="false" ht="15" hidden="false" customHeight="false" outlineLevel="0" collapsed="false">
      <c r="A6" s="12" t="s">
        <v>81</v>
      </c>
      <c r="B6" s="12" t="s">
        <v>121</v>
      </c>
      <c r="C6" s="12" t="s">
        <v>122</v>
      </c>
      <c r="D6" s="12" t="n">
        <v>8.3515625</v>
      </c>
      <c r="E6" s="12" t="s">
        <v>81</v>
      </c>
      <c r="F6" s="12" t="s">
        <v>48</v>
      </c>
    </row>
    <row r="7" customFormat="false" ht="15" hidden="false" customHeight="false" outlineLevel="0" collapsed="false">
      <c r="A7" s="12" t="s">
        <v>129</v>
      </c>
      <c r="B7" s="12" t="s">
        <v>121</v>
      </c>
      <c r="C7" s="12" t="s">
        <v>122</v>
      </c>
      <c r="D7" s="12" t="n">
        <v>2.0791015625</v>
      </c>
      <c r="E7" s="12" t="s">
        <v>129</v>
      </c>
      <c r="F7" s="12" t="s">
        <v>48</v>
      </c>
    </row>
    <row r="8" customFormat="false" ht="15" hidden="false" customHeight="false" outlineLevel="0" collapsed="false">
      <c r="A8" s="12" t="s">
        <v>130</v>
      </c>
      <c r="B8" s="12" t="s">
        <v>131</v>
      </c>
      <c r="C8" s="12" t="s">
        <v>132</v>
      </c>
      <c r="D8" s="12" t="n">
        <v>192.68359375</v>
      </c>
      <c r="E8" s="12" t="s">
        <v>130</v>
      </c>
      <c r="F8" s="12" t="s">
        <v>48</v>
      </c>
    </row>
    <row r="9" customFormat="false" ht="15" hidden="false" customHeight="false" outlineLevel="0" collapsed="false">
      <c r="A9" s="12" t="s">
        <v>133</v>
      </c>
      <c r="B9" s="12" t="s">
        <v>121</v>
      </c>
      <c r="C9" s="12" t="s">
        <v>122</v>
      </c>
      <c r="D9" s="12" t="n">
        <v>11.1884765625</v>
      </c>
      <c r="E9" s="12" t="s">
        <v>134</v>
      </c>
      <c r="F9" s="12" t="s">
        <v>48</v>
      </c>
    </row>
    <row r="10" customFormat="false" ht="15" hidden="false" customHeight="false" outlineLevel="0" collapsed="false">
      <c r="A10" s="12" t="s">
        <v>135</v>
      </c>
      <c r="B10" s="12" t="s">
        <v>121</v>
      </c>
      <c r="C10" s="12" t="s">
        <v>122</v>
      </c>
      <c r="D10" s="12" t="n">
        <v>2.5361328125</v>
      </c>
      <c r="E10" s="12" t="s">
        <v>134</v>
      </c>
      <c r="F10" s="12" t="s">
        <v>48</v>
      </c>
    </row>
    <row r="11" customFormat="false" ht="15" hidden="false" customHeight="false" outlineLevel="0" collapsed="false">
      <c r="A11" s="12" t="s">
        <v>136</v>
      </c>
      <c r="B11" s="12" t="s">
        <v>121</v>
      </c>
      <c r="C11" s="12" t="s">
        <v>122</v>
      </c>
      <c r="D11" s="12" t="n">
        <v>4.86328125</v>
      </c>
      <c r="E11" s="12" t="s">
        <v>134</v>
      </c>
      <c r="F11" s="12" t="s">
        <v>48</v>
      </c>
    </row>
    <row r="12" customFormat="false" ht="15" hidden="false" customHeight="false" outlineLevel="0" collapsed="false">
      <c r="A12" s="12" t="s">
        <v>137</v>
      </c>
      <c r="B12" s="12" t="s">
        <v>138</v>
      </c>
      <c r="C12" s="12" t="s">
        <v>60</v>
      </c>
      <c r="D12" s="12" t="n">
        <v>0.0107421875</v>
      </c>
      <c r="E12" s="12" t="s">
        <v>139</v>
      </c>
      <c r="F12" s="12" t="s">
        <v>48</v>
      </c>
    </row>
    <row r="13" customFormat="false" ht="15" hidden="false" customHeight="false" outlineLevel="0" collapsed="false">
      <c r="A13" s="12" t="s">
        <v>140</v>
      </c>
      <c r="B13" s="12" t="s">
        <v>141</v>
      </c>
      <c r="C13" s="12" t="s">
        <v>60</v>
      </c>
      <c r="D13" s="12" t="n">
        <v>16.015625</v>
      </c>
      <c r="E13" s="12" t="s">
        <v>139</v>
      </c>
      <c r="F13" s="12" t="s">
        <v>48</v>
      </c>
    </row>
    <row r="14" customFormat="false" ht="15" hidden="false" customHeight="false" outlineLevel="0" collapsed="false">
      <c r="A14" s="12" t="s">
        <v>142</v>
      </c>
      <c r="B14" s="12" t="s">
        <v>143</v>
      </c>
      <c r="C14" s="12" t="s">
        <v>60</v>
      </c>
      <c r="D14" s="12" t="n">
        <v>16.453125</v>
      </c>
      <c r="E14" s="12" t="s">
        <v>139</v>
      </c>
      <c r="F14" s="12" t="s">
        <v>48</v>
      </c>
    </row>
    <row r="15" customFormat="false" ht="15" hidden="false" customHeight="false" outlineLevel="0" collapsed="false">
      <c r="A15" s="12" t="s">
        <v>144</v>
      </c>
      <c r="B15" s="12" t="s">
        <v>138</v>
      </c>
      <c r="C15" s="12" t="s">
        <v>60</v>
      </c>
      <c r="D15" s="12" t="n">
        <v>0.0302734375</v>
      </c>
      <c r="E15" s="12" t="s">
        <v>139</v>
      </c>
      <c r="F15" s="12" t="s">
        <v>48</v>
      </c>
    </row>
    <row r="16" customFormat="false" ht="15" hidden="false" customHeight="false" outlineLevel="0" collapsed="false">
      <c r="A16" s="12" t="s">
        <v>145</v>
      </c>
      <c r="B16" s="12" t="s">
        <v>141</v>
      </c>
      <c r="C16" s="12" t="s">
        <v>60</v>
      </c>
      <c r="D16" s="12" t="n">
        <v>11.44921875</v>
      </c>
      <c r="E16" s="12" t="s">
        <v>139</v>
      </c>
      <c r="F16" s="12" t="s">
        <v>48</v>
      </c>
    </row>
    <row r="17" customFormat="false" ht="15" hidden="false" customHeight="false" outlineLevel="0" collapsed="false">
      <c r="A17" s="12" t="s">
        <v>146</v>
      </c>
      <c r="B17" s="12" t="s">
        <v>143</v>
      </c>
      <c r="C17" s="12" t="s">
        <v>60</v>
      </c>
      <c r="D17" s="12" t="n">
        <v>9.9560546875</v>
      </c>
      <c r="E17" s="12" t="s">
        <v>139</v>
      </c>
      <c r="F17" s="12" t="s">
        <v>48</v>
      </c>
    </row>
    <row r="18" customFormat="false" ht="15" hidden="false" customHeight="false" outlineLevel="0" collapsed="false">
      <c r="A18" s="12" t="s">
        <v>147</v>
      </c>
      <c r="B18" s="12" t="s">
        <v>138</v>
      </c>
      <c r="C18" s="12" t="s">
        <v>60</v>
      </c>
      <c r="D18" s="12" t="n">
        <v>0.326171875</v>
      </c>
      <c r="E18" s="12" t="s">
        <v>139</v>
      </c>
      <c r="F18" s="12" t="s">
        <v>48</v>
      </c>
    </row>
    <row r="19" customFormat="false" ht="15" hidden="false" customHeight="false" outlineLevel="0" collapsed="false">
      <c r="A19" s="12" t="s">
        <v>148</v>
      </c>
      <c r="B19" s="12" t="s">
        <v>141</v>
      </c>
      <c r="C19" s="12" t="s">
        <v>60</v>
      </c>
      <c r="D19" s="12" t="n">
        <v>2.451171875</v>
      </c>
      <c r="E19" s="12" t="s">
        <v>139</v>
      </c>
      <c r="F19" s="12" t="s">
        <v>48</v>
      </c>
    </row>
    <row r="20" customFormat="false" ht="15" hidden="false" customHeight="false" outlineLevel="0" collapsed="false">
      <c r="A20" s="12" t="s">
        <v>149</v>
      </c>
      <c r="B20" s="12" t="s">
        <v>143</v>
      </c>
      <c r="C20" s="12" t="s">
        <v>60</v>
      </c>
      <c r="D20" s="12" t="n">
        <v>2.1513671875</v>
      </c>
      <c r="E20" s="12" t="s">
        <v>139</v>
      </c>
      <c r="F20" s="12" t="s">
        <v>48</v>
      </c>
    </row>
    <row r="21" customFormat="false" ht="15" hidden="false" customHeight="false" outlineLevel="0" collapsed="false">
      <c r="A21" s="12" t="s">
        <v>150</v>
      </c>
      <c r="B21" s="12" t="s">
        <v>138</v>
      </c>
      <c r="C21" s="12" t="s">
        <v>60</v>
      </c>
      <c r="D21" s="12" t="n">
        <v>0.244140625</v>
      </c>
      <c r="E21" s="12" t="s">
        <v>139</v>
      </c>
      <c r="F21" s="12" t="s">
        <v>48</v>
      </c>
    </row>
    <row r="22" customFormat="false" ht="15" hidden="false" customHeight="false" outlineLevel="0" collapsed="false">
      <c r="A22" s="12" t="s">
        <v>151</v>
      </c>
      <c r="B22" s="12" t="s">
        <v>141</v>
      </c>
      <c r="C22" s="12" t="s">
        <v>60</v>
      </c>
      <c r="D22" s="12" t="n">
        <v>0.6865234375</v>
      </c>
      <c r="E22" s="12" t="s">
        <v>139</v>
      </c>
      <c r="F22" s="12" t="s">
        <v>48</v>
      </c>
    </row>
    <row r="23" customFormat="false" ht="15" hidden="false" customHeight="false" outlineLevel="0" collapsed="false">
      <c r="A23" s="12" t="s">
        <v>152</v>
      </c>
      <c r="B23" s="12" t="s">
        <v>143</v>
      </c>
      <c r="C23" s="12" t="s">
        <v>60</v>
      </c>
      <c r="D23" s="12" t="n">
        <v>0.83984375</v>
      </c>
      <c r="E23" s="12" t="s">
        <v>139</v>
      </c>
      <c r="F23" s="12" t="s">
        <v>48</v>
      </c>
    </row>
    <row r="24" customFormat="false" ht="15" hidden="false" customHeight="false" outlineLevel="0" collapsed="false">
      <c r="A24" s="12" t="s">
        <v>153</v>
      </c>
      <c r="B24" s="12" t="s">
        <v>138</v>
      </c>
      <c r="C24" s="12" t="s">
        <v>60</v>
      </c>
      <c r="D24" s="12" t="n">
        <v>0.5869140625</v>
      </c>
      <c r="E24" s="12" t="s">
        <v>139</v>
      </c>
      <c r="F24" s="12" t="s">
        <v>48</v>
      </c>
    </row>
    <row r="25" customFormat="false" ht="15" hidden="false" customHeight="false" outlineLevel="0" collapsed="false">
      <c r="A25" s="12" t="s">
        <v>154</v>
      </c>
      <c r="B25" s="12" t="s">
        <v>141</v>
      </c>
      <c r="C25" s="12" t="s">
        <v>60</v>
      </c>
      <c r="D25" s="12" t="n">
        <v>8.2158203125</v>
      </c>
      <c r="E25" s="12" t="s">
        <v>139</v>
      </c>
      <c r="F25" s="12" t="s">
        <v>48</v>
      </c>
    </row>
    <row r="26" customFormat="false" ht="15" hidden="false" customHeight="false" outlineLevel="0" collapsed="false">
      <c r="A26" s="12" t="s">
        <v>155</v>
      </c>
      <c r="B26" s="12" t="s">
        <v>143</v>
      </c>
      <c r="C26" s="12" t="s">
        <v>60</v>
      </c>
      <c r="D26" s="12" t="n">
        <v>8.6181640625</v>
      </c>
      <c r="E26" s="12" t="s">
        <v>139</v>
      </c>
      <c r="F26" s="12" t="s">
        <v>48</v>
      </c>
    </row>
    <row r="27" customFormat="false" ht="15" hidden="false" customHeight="false" outlineLevel="0" collapsed="false">
      <c r="A27" s="12" t="s">
        <v>156</v>
      </c>
      <c r="B27" s="12" t="s">
        <v>138</v>
      </c>
      <c r="C27" s="12" t="s">
        <v>60</v>
      </c>
      <c r="D27" s="12" t="n">
        <v>0.443359375</v>
      </c>
      <c r="E27" s="12" t="s">
        <v>139</v>
      </c>
      <c r="F27" s="12" t="s">
        <v>48</v>
      </c>
    </row>
    <row r="28" customFormat="false" ht="15" hidden="false" customHeight="false" outlineLevel="0" collapsed="false">
      <c r="A28" s="12" t="s">
        <v>157</v>
      </c>
      <c r="B28" s="12" t="s">
        <v>141</v>
      </c>
      <c r="C28" s="12" t="s">
        <v>60</v>
      </c>
      <c r="D28" s="12" t="n">
        <v>5.7021484375</v>
      </c>
      <c r="E28" s="12" t="s">
        <v>139</v>
      </c>
      <c r="F28" s="12" t="s">
        <v>48</v>
      </c>
    </row>
    <row r="29" customFormat="false" ht="15" hidden="false" customHeight="false" outlineLevel="0" collapsed="false">
      <c r="A29" s="12" t="s">
        <v>158</v>
      </c>
      <c r="B29" s="12" t="s">
        <v>143</v>
      </c>
      <c r="C29" s="12" t="s">
        <v>60</v>
      </c>
      <c r="D29" s="12" t="n">
        <v>4.662109375</v>
      </c>
      <c r="E29" s="12" t="s">
        <v>139</v>
      </c>
      <c r="F29" s="12" t="s">
        <v>48</v>
      </c>
    </row>
    <row r="30" customFormat="false" ht="15" hidden="false" customHeight="false" outlineLevel="0" collapsed="false">
      <c r="A30" s="12" t="s">
        <v>159</v>
      </c>
      <c r="B30" s="12" t="s">
        <v>138</v>
      </c>
      <c r="C30" s="12" t="s">
        <v>60</v>
      </c>
      <c r="D30" s="12" t="n">
        <v>0.93359375</v>
      </c>
      <c r="E30" s="12" t="s">
        <v>139</v>
      </c>
      <c r="F30" s="12" t="s">
        <v>48</v>
      </c>
    </row>
    <row r="31" customFormat="false" ht="15" hidden="false" customHeight="false" outlineLevel="0" collapsed="false">
      <c r="A31" s="12" t="s">
        <v>160</v>
      </c>
      <c r="B31" s="12" t="s">
        <v>141</v>
      </c>
      <c r="C31" s="12" t="s">
        <v>60</v>
      </c>
      <c r="D31" s="12" t="n">
        <v>6.1923828125</v>
      </c>
      <c r="E31" s="12" t="s">
        <v>139</v>
      </c>
      <c r="F31" s="12" t="s">
        <v>48</v>
      </c>
    </row>
    <row r="32" customFormat="false" ht="15" hidden="false" customHeight="false" outlineLevel="0" collapsed="false">
      <c r="A32" s="12" t="s">
        <v>161</v>
      </c>
      <c r="B32" s="12" t="s">
        <v>143</v>
      </c>
      <c r="C32" s="12" t="s">
        <v>60</v>
      </c>
      <c r="D32" s="12" t="n">
        <v>5.2763671875</v>
      </c>
      <c r="E32" s="12" t="s">
        <v>139</v>
      </c>
      <c r="F32" s="12" t="s">
        <v>48</v>
      </c>
    </row>
    <row r="33" customFormat="false" ht="15" hidden="false" customHeight="false" outlineLevel="0" collapsed="false">
      <c r="A33" s="12" t="s">
        <v>162</v>
      </c>
      <c r="B33" s="12" t="s">
        <v>138</v>
      </c>
      <c r="C33" s="12" t="s">
        <v>60</v>
      </c>
      <c r="D33" s="12" t="n">
        <v>0.392578125</v>
      </c>
      <c r="E33" s="12" t="s">
        <v>139</v>
      </c>
      <c r="F33" s="12" t="s">
        <v>48</v>
      </c>
    </row>
    <row r="34" customFormat="false" ht="15" hidden="false" customHeight="false" outlineLevel="0" collapsed="false">
      <c r="A34" s="12" t="s">
        <v>163</v>
      </c>
      <c r="B34" s="12" t="s">
        <v>141</v>
      </c>
      <c r="C34" s="12" t="s">
        <v>60</v>
      </c>
      <c r="D34" s="12" t="n">
        <v>0.8955078125</v>
      </c>
      <c r="E34" s="12" t="s">
        <v>139</v>
      </c>
      <c r="F34" s="12" t="s">
        <v>48</v>
      </c>
    </row>
    <row r="35" customFormat="false" ht="15" hidden="false" customHeight="false" outlineLevel="0" collapsed="false">
      <c r="A35" s="12" t="s">
        <v>164</v>
      </c>
      <c r="B35" s="12" t="s">
        <v>143</v>
      </c>
      <c r="C35" s="12" t="s">
        <v>60</v>
      </c>
      <c r="D35" s="12" t="n">
        <v>1.373046875</v>
      </c>
      <c r="E35" s="12" t="s">
        <v>139</v>
      </c>
      <c r="F35" s="12" t="s">
        <v>48</v>
      </c>
    </row>
    <row r="36" customFormat="false" ht="15" hidden="false" customHeight="false" outlineLevel="0" collapsed="false">
      <c r="A36" s="12" t="s">
        <v>165</v>
      </c>
      <c r="B36" s="12" t="s">
        <v>138</v>
      </c>
      <c r="C36" s="12" t="s">
        <v>60</v>
      </c>
      <c r="D36" s="12" t="n">
        <v>0.140625</v>
      </c>
      <c r="E36" s="12" t="s">
        <v>139</v>
      </c>
      <c r="F36" s="12" t="s">
        <v>48</v>
      </c>
    </row>
    <row r="37" customFormat="false" ht="15" hidden="false" customHeight="false" outlineLevel="0" collapsed="false">
      <c r="A37" s="12" t="s">
        <v>166</v>
      </c>
      <c r="B37" s="12" t="s">
        <v>141</v>
      </c>
      <c r="C37" s="12" t="s">
        <v>60</v>
      </c>
      <c r="D37" s="12" t="n">
        <v>0.69921875</v>
      </c>
      <c r="E37" s="12" t="s">
        <v>139</v>
      </c>
      <c r="F37" s="12" t="s">
        <v>48</v>
      </c>
    </row>
    <row r="38" customFormat="false" ht="15" hidden="false" customHeight="false" outlineLevel="0" collapsed="false">
      <c r="A38" s="12" t="s">
        <v>167</v>
      </c>
      <c r="B38" s="12" t="s">
        <v>143</v>
      </c>
      <c r="C38" s="12" t="s">
        <v>60</v>
      </c>
      <c r="D38" s="12" t="n">
        <v>0.857421875</v>
      </c>
      <c r="E38" s="12" t="s">
        <v>139</v>
      </c>
      <c r="F38" s="12" t="s">
        <v>48</v>
      </c>
    </row>
    <row r="39" customFormat="false" ht="15" hidden="false" customHeight="false" outlineLevel="0" collapsed="false">
      <c r="A39" s="12" t="s">
        <v>168</v>
      </c>
      <c r="B39" s="12" t="s">
        <v>169</v>
      </c>
      <c r="C39" s="12" t="s">
        <v>122</v>
      </c>
      <c r="D39" s="12" t="n">
        <v>43.4892578125</v>
      </c>
      <c r="E39" s="12" t="s">
        <v>170</v>
      </c>
      <c r="F39" s="12" t="s">
        <v>48</v>
      </c>
    </row>
    <row r="40" customFormat="false" ht="15" hidden="false" customHeight="false" outlineLevel="0" collapsed="false">
      <c r="A40" s="12" t="s">
        <v>171</v>
      </c>
      <c r="B40" s="12" t="s">
        <v>172</v>
      </c>
      <c r="C40" s="12" t="s">
        <v>173</v>
      </c>
      <c r="D40" s="12" t="n">
        <v>23.7861328125</v>
      </c>
      <c r="E40" s="12" t="s">
        <v>171</v>
      </c>
      <c r="F40" s="12" t="s">
        <v>48</v>
      </c>
    </row>
    <row r="41" customFormat="false" ht="15" hidden="false" customHeight="false" outlineLevel="0" collapsed="false">
      <c r="A41" s="12" t="s">
        <v>174</v>
      </c>
      <c r="B41" s="12" t="s">
        <v>175</v>
      </c>
      <c r="C41" s="12" t="s">
        <v>176</v>
      </c>
      <c r="D41" s="12" t="n">
        <v>62.7880859375</v>
      </c>
      <c r="E41" s="12" t="s">
        <v>174</v>
      </c>
      <c r="F41" s="12" t="s">
        <v>48</v>
      </c>
    </row>
    <row r="42" customFormat="false" ht="15" hidden="false" customHeight="false" outlineLevel="0" collapsed="false">
      <c r="A42" s="12" t="s">
        <v>177</v>
      </c>
      <c r="B42" s="12" t="s">
        <v>175</v>
      </c>
      <c r="C42" s="12" t="s">
        <v>176</v>
      </c>
      <c r="D42" s="12" t="n">
        <v>1.00390625</v>
      </c>
      <c r="E42" s="12" t="s">
        <v>177</v>
      </c>
      <c r="F42" s="12" t="s">
        <v>48</v>
      </c>
    </row>
    <row r="43" customFormat="false" ht="15" hidden="false" customHeight="false" outlineLevel="0" collapsed="false">
      <c r="A43" s="12" t="s">
        <v>178</v>
      </c>
      <c r="B43" s="12" t="s">
        <v>179</v>
      </c>
      <c r="C43" s="12" t="s">
        <v>173</v>
      </c>
      <c r="D43" s="12" t="n">
        <v>0.88671875</v>
      </c>
      <c r="E43" s="12" t="s">
        <v>180</v>
      </c>
      <c r="F43" s="12" t="s">
        <v>48</v>
      </c>
    </row>
    <row r="44" customFormat="false" ht="15" hidden="false" customHeight="false" outlineLevel="0" collapsed="false">
      <c r="A44" s="12" t="s">
        <v>181</v>
      </c>
      <c r="B44" s="12" t="s">
        <v>138</v>
      </c>
      <c r="C44" s="12" t="s">
        <v>182</v>
      </c>
      <c r="D44" s="12" t="n">
        <v>16.146484375</v>
      </c>
      <c r="E44" s="12" t="s">
        <v>183</v>
      </c>
      <c r="F44" s="12" t="s">
        <v>48</v>
      </c>
    </row>
    <row r="45" customFormat="false" ht="15" hidden="false" customHeight="false" outlineLevel="0" collapsed="false">
      <c r="A45" s="12" t="s">
        <v>184</v>
      </c>
      <c r="B45" s="12" t="s">
        <v>138</v>
      </c>
      <c r="C45" s="12" t="s">
        <v>182</v>
      </c>
      <c r="D45" s="12" t="n">
        <v>11.4521484375</v>
      </c>
      <c r="E45" s="12" t="s">
        <v>183</v>
      </c>
      <c r="F45" s="12" t="s">
        <v>48</v>
      </c>
    </row>
    <row r="46" customFormat="false" ht="15" hidden="false" customHeight="false" outlineLevel="0" collapsed="false">
      <c r="A46" s="12" t="s">
        <v>185</v>
      </c>
      <c r="B46" s="12" t="s">
        <v>138</v>
      </c>
      <c r="C46" s="12" t="s">
        <v>182</v>
      </c>
      <c r="D46" s="12" t="n">
        <v>2.9306640625</v>
      </c>
      <c r="E46" s="12" t="s">
        <v>183</v>
      </c>
      <c r="F46" s="12" t="s">
        <v>48</v>
      </c>
    </row>
    <row r="47" customFormat="false" ht="15" hidden="false" customHeight="false" outlineLevel="0" collapsed="false">
      <c r="A47" s="12" t="s">
        <v>186</v>
      </c>
      <c r="B47" s="12" t="s">
        <v>138</v>
      </c>
      <c r="C47" s="12" t="s">
        <v>182</v>
      </c>
      <c r="D47" s="12" t="n">
        <v>0.65625</v>
      </c>
      <c r="E47" s="12" t="s">
        <v>183</v>
      </c>
      <c r="F47" s="12" t="s">
        <v>48</v>
      </c>
    </row>
    <row r="48" customFormat="false" ht="15" hidden="false" customHeight="false" outlineLevel="0" collapsed="false">
      <c r="A48" s="12" t="s">
        <v>187</v>
      </c>
      <c r="B48" s="12" t="s">
        <v>138</v>
      </c>
      <c r="C48" s="12" t="s">
        <v>182</v>
      </c>
      <c r="D48" s="12" t="n">
        <v>8.947265625</v>
      </c>
      <c r="E48" s="12" t="s">
        <v>183</v>
      </c>
      <c r="F48" s="12" t="s">
        <v>48</v>
      </c>
    </row>
    <row r="49" customFormat="false" ht="15" hidden="false" customHeight="false" outlineLevel="0" collapsed="false">
      <c r="A49" s="12" t="s">
        <v>188</v>
      </c>
      <c r="B49" s="12" t="s">
        <v>138</v>
      </c>
      <c r="C49" s="12" t="s">
        <v>182</v>
      </c>
      <c r="D49" s="12" t="n">
        <v>6.2412109375</v>
      </c>
      <c r="E49" s="12" t="s">
        <v>183</v>
      </c>
      <c r="F49" s="12" t="s">
        <v>48</v>
      </c>
    </row>
    <row r="50" customFormat="false" ht="15" hidden="false" customHeight="false" outlineLevel="0" collapsed="false">
      <c r="A50" s="12" t="s">
        <v>189</v>
      </c>
      <c r="B50" s="12" t="s">
        <v>138</v>
      </c>
      <c r="C50" s="12" t="s">
        <v>182</v>
      </c>
      <c r="D50" s="12" t="n">
        <v>6.615234375</v>
      </c>
      <c r="E50" s="12" t="s">
        <v>183</v>
      </c>
      <c r="F50" s="12" t="s">
        <v>48</v>
      </c>
    </row>
    <row r="51" customFormat="false" ht="15" hidden="false" customHeight="false" outlineLevel="0" collapsed="false">
      <c r="A51" s="12" t="s">
        <v>190</v>
      </c>
      <c r="B51" s="12" t="s">
        <v>138</v>
      </c>
      <c r="C51" s="12" t="s">
        <v>182</v>
      </c>
      <c r="D51" s="12" t="n">
        <v>0.9775390625</v>
      </c>
      <c r="E51" s="12" t="s">
        <v>183</v>
      </c>
      <c r="F51" s="12" t="s">
        <v>48</v>
      </c>
    </row>
    <row r="52" customFormat="false" ht="15" hidden="false" customHeight="false" outlineLevel="0" collapsed="false">
      <c r="A52" s="12" t="s">
        <v>191</v>
      </c>
      <c r="B52" s="12" t="s">
        <v>138</v>
      </c>
      <c r="C52" s="12" t="s">
        <v>182</v>
      </c>
      <c r="D52" s="12" t="n">
        <v>0.712890625</v>
      </c>
      <c r="E52" s="12" t="s">
        <v>183</v>
      </c>
      <c r="F52" s="12" t="s">
        <v>48</v>
      </c>
    </row>
    <row r="53" customFormat="false" ht="15" hidden="false" customHeight="false" outlineLevel="0" collapsed="false">
      <c r="A53" s="12" t="s">
        <v>192</v>
      </c>
      <c r="B53" s="12" t="s">
        <v>175</v>
      </c>
      <c r="C53" s="12" t="s">
        <v>176</v>
      </c>
      <c r="D53" s="12" t="n">
        <v>0.43359375</v>
      </c>
      <c r="E53" s="12" t="s">
        <v>192</v>
      </c>
      <c r="F53" s="12" t="s">
        <v>48</v>
      </c>
    </row>
  </sheetData>
  <conditionalFormatting sqref="D2:D53">
    <cfRule type="colorScale" priority="2">
      <colorScale>
        <cfvo type="min" val="0"/>
        <cfvo type="percentile" val="50"/>
        <cfvo type="max" val="0"/>
        <color rgb="FFE2F0D9"/>
        <color rgb="FFFFD966"/>
        <color rgb="FFF4CCC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30"/>
    <col collapsed="false" customWidth="true" hidden="false" outlineLevel="0" max="4" min="4" style="0" width="14"/>
    <col collapsed="false" customWidth="true" hidden="false" outlineLevel="0" max="5" min="5" style="0" width="38"/>
  </cols>
  <sheetData>
    <row r="1" customFormat="false" ht="19.7" hidden="false" customHeight="false" outlineLevel="0" collapsed="false">
      <c r="A1" s="13" t="s">
        <v>193</v>
      </c>
    </row>
    <row r="3" customFormat="false" ht="15" hidden="false" customHeight="false" outlineLevel="0" collapsed="false">
      <c r="A3" s="11" t="s">
        <v>194</v>
      </c>
      <c r="B3" s="11" t="s">
        <v>195</v>
      </c>
      <c r="D3" s="11" t="s">
        <v>196</v>
      </c>
      <c r="E3" s="11" t="s">
        <v>195</v>
      </c>
    </row>
    <row r="4" customFormat="false" ht="15" hidden="false" customHeight="false" outlineLevel="0" collapsed="false">
      <c r="A4" s="14" t="s">
        <v>122</v>
      </c>
      <c r="B4" s="14" t="n">
        <f aca="false">COUNTIF(Files!C:C,"Docs")</f>
        <v>9</v>
      </c>
      <c r="D4" s="14" t="s">
        <v>57</v>
      </c>
      <c r="E4" s="14" t="n">
        <f aca="false">COUNTIF(Targets!A:A,"Instructions")</f>
        <v>4</v>
      </c>
    </row>
    <row r="5" customFormat="false" ht="15" hidden="false" customHeight="false" outlineLevel="0" collapsed="false">
      <c r="A5" s="14" t="s">
        <v>176</v>
      </c>
      <c r="B5" s="14" t="n">
        <f aca="false">COUNTIF(Files!C:C,"Config")</f>
        <v>3</v>
      </c>
      <c r="D5" s="14" t="s">
        <v>86</v>
      </c>
      <c r="E5" s="14" t="n">
        <f aca="false">COUNTIF(Targets!A:A,"Skills Sync")</f>
        <v>3</v>
      </c>
    </row>
    <row r="6" customFormat="false" ht="15" hidden="false" customHeight="false" outlineLevel="0" collapsed="false">
      <c r="A6" s="14" t="s">
        <v>182</v>
      </c>
      <c r="B6" s="14" t="n">
        <f aca="false">COUNTIF(Files!C:C,"Source")</f>
        <v>9</v>
      </c>
      <c r="D6" s="14" t="s">
        <v>51</v>
      </c>
      <c r="E6" s="14" t="n">
        <f aca="false">COUNTIF(Targets!A:A,"MCP")</f>
        <v>6</v>
      </c>
    </row>
    <row r="7" customFormat="false" ht="15" hidden="false" customHeight="false" outlineLevel="0" collapsed="false">
      <c r="A7" s="14" t="s">
        <v>60</v>
      </c>
      <c r="B7" s="14" t="n">
        <f aca="false">COUNTIF(Files!C:C,"Build")</f>
        <v>27</v>
      </c>
    </row>
    <row r="8" customFormat="false" ht="15" hidden="false" customHeight="false" outlineLevel="0" collapsed="false">
      <c r="A8" s="14" t="s">
        <v>132</v>
      </c>
      <c r="B8" s="14" t="n">
        <f aca="false">COUNTIF(Files!C:C,"Asset")</f>
        <v>1</v>
      </c>
    </row>
    <row r="9" customFormat="false" ht="15" hidden="false" customHeight="false" outlineLevel="0" collapsed="false">
      <c r="A9" s="14" t="s">
        <v>173</v>
      </c>
      <c r="B9" s="14" t="n">
        <f aca="false">COUNTIF(Files!C:C,"Code")</f>
        <v>2</v>
      </c>
    </row>
    <row r="11" customFormat="false" ht="15" hidden="false" customHeight="false" outlineLevel="0" collapsed="false">
      <c r="A11" s="2" t="s">
        <v>197</v>
      </c>
    </row>
    <row r="12" customFormat="false" ht="15" hidden="false" customHeight="false" outlineLevel="0" collapsed="false">
      <c r="A12" s="14" t="s">
        <v>198</v>
      </c>
      <c r="B12" s="14" t="n">
        <f aca="false">Overview!E5</f>
        <v>6</v>
      </c>
    </row>
    <row r="13" customFormat="false" ht="15" hidden="false" customHeight="false" outlineLevel="0" collapsed="false">
      <c r="A13" s="14" t="s">
        <v>199</v>
      </c>
      <c r="B13" s="14" t="n">
        <f aca="false">Overview!E8</f>
        <v>5</v>
      </c>
    </row>
    <row r="14" customFormat="false" ht="15" hidden="false" customHeight="false" outlineLevel="0" collapsed="false">
      <c r="A14" s="14" t="s">
        <v>29</v>
      </c>
      <c r="B14" s="14" t="n">
        <f aca="false">Overview!E9</f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2026-03-15T11:49:39Z</dcterms:created>
  <dc:creator>openpyxl</dc:creator>
  <dc:description/>
  <dc:language>en-US</dc:language>
  <cp:lastModifiedBy/>
  <dcterms:modified xsi:type="dcterms:W3CDTF">2026-03-15T11:50:41Z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